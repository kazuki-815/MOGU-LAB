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k\.cursor\tesuto\line-funnel\"/>
    </mc:Choice>
  </mc:AlternateContent>
  <xr:revisionPtr revIDLastSave="0" documentId="8_{1945031D-C45D-4361-AB14-C9AFBB8D7A69}" xr6:coauthVersionLast="47" xr6:coauthVersionMax="47" xr10:uidLastSave="{00000000-0000-0000-0000-000000000000}"/>
  <bookViews>
    <workbookView xWindow="3040" yWindow="3040" windowWidth="16920" windowHeight="10450" activeTab="1" xr2:uid="{3C17476B-0C8F-48BB-8B3E-7D674024DAAD}"/>
  </bookViews>
  <sheets>
    <sheet name="生データ" sheetId="1" r:id="rId1"/>
    <sheet name="ダッシュ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2" l="1"/>
  <c r="D27" i="2"/>
  <c r="C27" i="2"/>
  <c r="B27" i="2"/>
  <c r="E26" i="2"/>
  <c r="D26" i="2"/>
  <c r="C26" i="2"/>
  <c r="B26" i="2"/>
  <c r="E25" i="2"/>
  <c r="D25" i="2"/>
  <c r="C25" i="2"/>
  <c r="B25" i="2"/>
  <c r="E21" i="2"/>
  <c r="D21" i="2"/>
  <c r="C21" i="2"/>
  <c r="B21" i="2"/>
  <c r="E20" i="2"/>
  <c r="D20" i="2"/>
  <c r="C20" i="2"/>
  <c r="B20" i="2"/>
  <c r="E19" i="2"/>
  <c r="D19" i="2"/>
  <c r="C19" i="2"/>
  <c r="B19" i="2"/>
  <c r="E15" i="2"/>
  <c r="D15" i="2"/>
  <c r="C15" i="2"/>
  <c r="B15" i="2"/>
  <c r="E14" i="2"/>
  <c r="D14" i="2"/>
  <c r="C14" i="2"/>
  <c r="B14" i="2"/>
  <c r="E13" i="2"/>
  <c r="D13" i="2"/>
  <c r="C13" i="2"/>
  <c r="B13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J16" i="1"/>
  <c r="I16" i="1"/>
  <c r="H16" i="1"/>
  <c r="G16" i="1"/>
  <c r="F16" i="1"/>
  <c r="E16" i="1"/>
  <c r="D16" i="1"/>
  <c r="J14" i="1" s="1"/>
  <c r="C16" i="1"/>
  <c r="J15" i="1"/>
  <c r="H15" i="1"/>
  <c r="G15" i="1"/>
  <c r="F15" i="1"/>
  <c r="H14" i="1"/>
  <c r="G14" i="1"/>
  <c r="F14" i="1"/>
  <c r="J13" i="1"/>
  <c r="H13" i="1"/>
  <c r="G13" i="1"/>
  <c r="F13" i="1"/>
  <c r="J12" i="1"/>
  <c r="H12" i="1"/>
  <c r="G12" i="1"/>
  <c r="F12" i="1"/>
  <c r="J11" i="1"/>
  <c r="I11" i="1"/>
  <c r="H11" i="1"/>
  <c r="G11" i="1"/>
  <c r="F11" i="1"/>
  <c r="E11" i="1"/>
  <c r="D11" i="1"/>
  <c r="C11" i="1"/>
  <c r="H10" i="1"/>
  <c r="G10" i="1"/>
  <c r="F10" i="1"/>
  <c r="H9" i="1"/>
  <c r="G9" i="1"/>
  <c r="F9" i="1"/>
  <c r="H8" i="1"/>
  <c r="G8" i="1"/>
  <c r="F8" i="1"/>
  <c r="H7" i="1"/>
  <c r="G7" i="1"/>
  <c r="F7" i="1"/>
  <c r="J6" i="1"/>
  <c r="I6" i="1"/>
  <c r="H6" i="1"/>
  <c r="G6" i="1"/>
  <c r="F6" i="1"/>
  <c r="E6" i="1"/>
  <c r="D6" i="1"/>
  <c r="C6" i="1"/>
  <c r="H5" i="1"/>
  <c r="G5" i="1"/>
  <c r="F5" i="1"/>
  <c r="H4" i="1"/>
  <c r="G4" i="1"/>
  <c r="F4" i="1"/>
  <c r="J3" i="1"/>
  <c r="H3" i="1"/>
  <c r="G3" i="1"/>
  <c r="F3" i="1"/>
  <c r="J2" i="1"/>
  <c r="H2" i="1"/>
  <c r="G2" i="1"/>
  <c r="F2" i="1"/>
  <c r="I15" i="1" l="1"/>
  <c r="I14" i="1"/>
  <c r="I13" i="1"/>
  <c r="I12" i="1"/>
  <c r="J9" i="1"/>
  <c r="J8" i="1"/>
  <c r="J7" i="1"/>
  <c r="J10" i="1"/>
  <c r="I9" i="1"/>
  <c r="I10" i="1"/>
  <c r="I8" i="1"/>
  <c r="I7" i="1"/>
  <c r="J5" i="1"/>
  <c r="J4" i="1"/>
  <c r="I5" i="1"/>
  <c r="I2" i="1"/>
  <c r="I3" i="1"/>
  <c r="I4" i="1"/>
</calcChain>
</file>

<file path=xl/sharedStrings.xml><?xml version="1.0" encoding="utf-8"?>
<sst xmlns="http://schemas.openxmlformats.org/spreadsheetml/2006/main" count="79" uniqueCount="30">
  <si>
    <t>実施月</t>
  </si>
  <si>
    <t>項目</t>
  </si>
  <si>
    <t>ぽん通常LIN(人)</t>
  </si>
  <si>
    <t>ぽんイベントLIN(人)</t>
  </si>
  <si>
    <t>面談予約数</t>
  </si>
  <si>
    <t>離脱数(人)</t>
  </si>
  <si>
    <t>LIN移行率(%)</t>
  </si>
  <si>
    <t>面談移行率(%)</t>
  </si>
  <si>
    <t>ぽん通常LIN構成比(%)</t>
  </si>
  <si>
    <t>ぽんイベントLIN構成比(%)</t>
  </si>
  <si>
    <t>1月</t>
  </si>
  <si>
    <t>Instagram</t>
  </si>
  <si>
    <t>YouTube</t>
  </si>
  <si>
    <t>stand.fm</t>
  </si>
  <si>
    <t>note</t>
  </si>
  <si>
    <t>TOTAL</t>
  </si>
  <si>
    <t>2月</t>
  </si>
  <si>
    <t>3月</t>
  </si>
  <si>
    <t>主軸KPI: 月次の段階別人数でボトルネック（通常LIN→イベントLIN→面談予約）を最優先で確認する</t>
  </si>
  <si>
    <t>月</t>
  </si>
  <si>
    <t>通常LIN</t>
  </si>
  <si>
    <t>イベントLIN</t>
  </si>
  <si>
    <t>面談予約</t>
  </si>
  <si>
    <t>LIN移行率</t>
  </si>
  <si>
    <t>面談移行率</t>
  </si>
  <si>
    <t>面談CVR母数(イベントLIN人数)</t>
  </si>
  <si>
    <t>媒体別（合計行なし）— 通常LIN・イベントLINの内訳</t>
  </si>
  <si>
    <t>イベントLIN人数内訳</t>
  </si>
  <si>
    <t>面談予約（個別）の媒体別 — イベントLIN経由の個別への流入</t>
  </si>
  <si>
    <t>今後の拡張（運用が増えたら）: ピボットテーブル化、月次スパークライン、サンキー図（アドオン等）は第2フェーズで検討。率は常に人数（分子・分母）と併記。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</si>
</sst>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&quot;莠ｺ&quot;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565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10" fontId="2" fillId="2" borderId="0" xfId="0" applyNumberFormat="1" applyFont="1" applyFill="1">
      <alignment vertical="center"/>
    </xf>
    <xf numFmtId="10" fontId="0" fillId="0" borderId="0" xfId="0" applyNumberFormat="1">
      <alignment vertical="center"/>
    </xf>
    <xf numFmtId="1" fontId="2" fillId="2" borderId="0" xfId="0" applyNumberFormat="1" applyFont="1" applyFill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Monthly funnel counts (priority chart)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ダッシュ!$A$4</c:f>
              <c:strCache>
                <c:ptCount val="1"/>
                <c:pt idx="0">
                  <c:v>1月</c:v>
                </c:pt>
              </c:strCache>
            </c:strRef>
          </c:tx>
          <c:invertIfNegative val="0"/>
          <c:cat>
            <c:strRef>
              <c:f>ダッシュ!$B$3:$D$3</c:f>
              <c:strCache>
                <c:ptCount val="3"/>
                <c:pt idx="0">
                  <c:v>通常LIN</c:v>
                </c:pt>
                <c:pt idx="1">
                  <c:v>イベントLIN</c:v>
                </c:pt>
                <c:pt idx="2">
                  <c:v>面談予約</c:v>
                </c:pt>
              </c:strCache>
            </c:strRef>
          </c:cat>
          <c:val>
            <c:numRef>
              <c:f>ダッシュ!$B$4:$D$4</c:f>
              <c:numCache>
                <c:formatCode>0</c:formatCode>
                <c:ptCount val="3"/>
                <c:pt idx="0">
                  <c:v>19</c:v>
                </c:pt>
                <c:pt idx="1">
                  <c:v>17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C-4D66-B0E2-70D82B12C38A}"/>
            </c:ext>
          </c:extLst>
        </c:ser>
        <c:ser>
          <c:idx val="1"/>
          <c:order val="1"/>
          <c:tx>
            <c:strRef>
              <c:f>ダッシュ!$A$5</c:f>
              <c:strCache>
                <c:ptCount val="1"/>
                <c:pt idx="0">
                  <c:v>2月</c:v>
                </c:pt>
              </c:strCache>
            </c:strRef>
          </c:tx>
          <c:invertIfNegative val="0"/>
          <c:cat>
            <c:strRef>
              <c:f>ダッシュ!$B$3:$D$3</c:f>
              <c:strCache>
                <c:ptCount val="3"/>
                <c:pt idx="0">
                  <c:v>通常LIN</c:v>
                </c:pt>
                <c:pt idx="1">
                  <c:v>イベントLIN</c:v>
                </c:pt>
                <c:pt idx="2">
                  <c:v>面談予約</c:v>
                </c:pt>
              </c:strCache>
            </c:strRef>
          </c:cat>
          <c:val>
            <c:numRef>
              <c:f>ダッシュ!$B$5:$D$5</c:f>
              <c:numCache>
                <c:formatCode>0</c:formatCode>
                <c:ptCount val="3"/>
                <c:pt idx="0">
                  <c:v>15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CC-4D66-B0E2-70D82B12C38A}"/>
            </c:ext>
          </c:extLst>
        </c:ser>
        <c:ser>
          <c:idx val="2"/>
          <c:order val="2"/>
          <c:tx>
            <c:strRef>
              <c:f>ダッシュ!$A$6</c:f>
              <c:strCache>
                <c:ptCount val="1"/>
                <c:pt idx="0">
                  <c:v>3月</c:v>
                </c:pt>
              </c:strCache>
            </c:strRef>
          </c:tx>
          <c:invertIfNegative val="0"/>
          <c:cat>
            <c:strRef>
              <c:f>ダッシュ!$B$3:$D$3</c:f>
              <c:strCache>
                <c:ptCount val="3"/>
                <c:pt idx="0">
                  <c:v>通常LIN</c:v>
                </c:pt>
                <c:pt idx="1">
                  <c:v>イベントLIN</c:v>
                </c:pt>
                <c:pt idx="2">
                  <c:v>面談予約</c:v>
                </c:pt>
              </c:strCache>
            </c:strRef>
          </c:cat>
          <c:val>
            <c:numRef>
              <c:f>ダッシュ!$B$6:$D$6</c:f>
              <c:numCache>
                <c:formatCode>0</c:formatCode>
                <c:ptCount val="3"/>
                <c:pt idx="0">
                  <c:v>18</c:v>
                </c:pt>
                <c:pt idx="1">
                  <c:v>12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CC-4D66-B0E2-70D82B12C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6593599"/>
        <c:axId val="1776599839"/>
      </c:barChart>
      <c:catAx>
        <c:axId val="1776593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6599839"/>
        <c:crosses val="autoZero"/>
        <c:auto val="1"/>
        <c:lblAlgn val="ctr"/>
        <c:lblOffset val="100"/>
        <c:noMultiLvlLbl val="0"/>
      </c:catAx>
      <c:valAx>
        <c:axId val="1776599839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776593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Transition rates (see Event LINE count in table)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ダッシュ!$E$3</c:f>
              <c:strCache>
                <c:ptCount val="1"/>
                <c:pt idx="0">
                  <c:v>LIN移行率</c:v>
                </c:pt>
              </c:strCache>
            </c:strRef>
          </c:tx>
          <c:marker>
            <c:symbol val="none"/>
          </c:marker>
          <c:cat>
            <c:strRef>
              <c:f>ダッシュ!$A$4:$A$6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ダッシュ!$E$4:$E$6</c:f>
              <c:numCache>
                <c:formatCode>0.00%</c:formatCode>
                <c:ptCount val="3"/>
                <c:pt idx="0">
                  <c:v>0.89473684210526316</c:v>
                </c:pt>
                <c:pt idx="1">
                  <c:v>0.53333333333333333</c:v>
                </c:pt>
                <c:pt idx="2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59-41BD-A50F-53152D89A38B}"/>
            </c:ext>
          </c:extLst>
        </c:ser>
        <c:ser>
          <c:idx val="1"/>
          <c:order val="1"/>
          <c:tx>
            <c:strRef>
              <c:f>ダッシュ!$F$3</c:f>
              <c:strCache>
                <c:ptCount val="1"/>
                <c:pt idx="0">
                  <c:v>面談移行率</c:v>
                </c:pt>
              </c:strCache>
            </c:strRef>
          </c:tx>
          <c:marker>
            <c:symbol val="none"/>
          </c:marker>
          <c:cat>
            <c:strRef>
              <c:f>ダッシュ!$A$4:$A$6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ダッシュ!$F$4:$F$6</c:f>
              <c:numCache>
                <c:formatCode>0.00%</c:formatCode>
                <c:ptCount val="3"/>
                <c:pt idx="0">
                  <c:v>5.8823529411764705E-2</c:v>
                </c:pt>
                <c:pt idx="1">
                  <c:v>0</c:v>
                </c:pt>
                <c:pt idx="2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59-41BD-A50F-53152D89A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6596479"/>
        <c:axId val="1776595039"/>
      </c:lineChart>
      <c:catAx>
        <c:axId val="17765964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6595039"/>
        <c:crosses val="autoZero"/>
        <c:auto val="1"/>
        <c:lblAlgn val="ctr"/>
        <c:lblOffset val="100"/>
        <c:noMultiLvlLbl val="0"/>
      </c:catAx>
      <c:valAx>
        <c:axId val="1776595039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17765964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Normal LINE: per month, bars = IG / YT / stand / note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ダッシュ!$A$13</c:f>
              <c:strCache>
                <c:ptCount val="1"/>
                <c:pt idx="0">
                  <c:v>1月</c:v>
                </c:pt>
              </c:strCache>
            </c:strRef>
          </c:tx>
          <c:invertIfNegative val="0"/>
          <c:cat>
            <c:strRef>
              <c:f>ダッシュ!$B$12:$E$12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ダッシュ!$B$13:$E$13</c:f>
              <c:numCache>
                <c:formatCode>0</c:formatCode>
                <c:ptCount val="4"/>
                <c:pt idx="0">
                  <c:v>16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8-4DF3-981A-133240D00A95}"/>
            </c:ext>
          </c:extLst>
        </c:ser>
        <c:ser>
          <c:idx val="1"/>
          <c:order val="1"/>
          <c:tx>
            <c:strRef>
              <c:f>ダッシュ!$A$14</c:f>
              <c:strCache>
                <c:ptCount val="1"/>
                <c:pt idx="0">
                  <c:v>2月</c:v>
                </c:pt>
              </c:strCache>
            </c:strRef>
          </c:tx>
          <c:invertIfNegative val="0"/>
          <c:cat>
            <c:strRef>
              <c:f>ダッシュ!$B$12:$E$12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ダッシュ!$B$14:$E$14</c:f>
              <c:numCache>
                <c:formatCode>0</c:formatCode>
                <c:ptCount val="4"/>
                <c:pt idx="0">
                  <c:v>11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18-4DF3-981A-133240D00A95}"/>
            </c:ext>
          </c:extLst>
        </c:ser>
        <c:ser>
          <c:idx val="2"/>
          <c:order val="2"/>
          <c:tx>
            <c:strRef>
              <c:f>ダッシュ!$A$15</c:f>
              <c:strCache>
                <c:ptCount val="1"/>
                <c:pt idx="0">
                  <c:v>3月</c:v>
                </c:pt>
              </c:strCache>
            </c:strRef>
          </c:tx>
          <c:invertIfNegative val="0"/>
          <c:cat>
            <c:strRef>
              <c:f>ダッシュ!$B$12:$E$12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ダッシュ!$B$15:$E$15</c:f>
              <c:numCache>
                <c:formatCode>0</c:formatCode>
                <c:ptCount val="4"/>
                <c:pt idx="0">
                  <c:v>7</c:v>
                </c:pt>
                <c:pt idx="1">
                  <c:v>8</c:v>
                </c:pt>
                <c:pt idx="2">
                  <c:v>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18-4DF3-981A-133240D00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6595519"/>
        <c:axId val="1757990911"/>
      </c:barChart>
      <c:catAx>
        <c:axId val="1776595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7990911"/>
        <c:crosses val="autoZero"/>
        <c:auto val="1"/>
        <c:lblAlgn val="ctr"/>
        <c:lblOffset val="100"/>
        <c:noMultiLvlLbl val="0"/>
      </c:catAx>
      <c:valAx>
        <c:axId val="175799091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流入数（人）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7765955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Event LINE: per month, bars = IG / YT / stand / note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ダッシュ!$A$19</c:f>
              <c:strCache>
                <c:ptCount val="1"/>
                <c:pt idx="0">
                  <c:v>1月</c:v>
                </c:pt>
              </c:strCache>
            </c:strRef>
          </c:tx>
          <c:invertIfNegative val="0"/>
          <c:cat>
            <c:strRef>
              <c:f>ダッシュ!$B$18:$E$18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ダッシュ!$B$19:$E$19</c:f>
              <c:numCache>
                <c:formatCode>0</c:formatCode>
                <c:ptCount val="4"/>
                <c:pt idx="0">
                  <c:v>14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52-4DC7-B1A1-708662D9EC45}"/>
            </c:ext>
          </c:extLst>
        </c:ser>
        <c:ser>
          <c:idx val="1"/>
          <c:order val="1"/>
          <c:tx>
            <c:strRef>
              <c:f>ダッシュ!$A$20</c:f>
              <c:strCache>
                <c:ptCount val="1"/>
                <c:pt idx="0">
                  <c:v>2月</c:v>
                </c:pt>
              </c:strCache>
            </c:strRef>
          </c:tx>
          <c:invertIfNegative val="0"/>
          <c:cat>
            <c:strRef>
              <c:f>ダッシュ!$B$18:$E$18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ダッシュ!$B$20:$E$20</c:f>
              <c:numCache>
                <c:formatCode>0</c:formatCode>
                <c:ptCount val="4"/>
                <c:pt idx="0">
                  <c:v>6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52-4DC7-B1A1-708662D9EC45}"/>
            </c:ext>
          </c:extLst>
        </c:ser>
        <c:ser>
          <c:idx val="2"/>
          <c:order val="2"/>
          <c:tx>
            <c:strRef>
              <c:f>ダッシュ!$A$21</c:f>
              <c:strCache>
                <c:ptCount val="1"/>
                <c:pt idx="0">
                  <c:v>3月</c:v>
                </c:pt>
              </c:strCache>
            </c:strRef>
          </c:tx>
          <c:invertIfNegative val="0"/>
          <c:cat>
            <c:strRef>
              <c:f>ダッシュ!$B$18:$E$18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ダッシュ!$B$21:$E$21</c:f>
              <c:numCache>
                <c:formatCode>0</c:formatCode>
                <c:ptCount val="4"/>
                <c:pt idx="0">
                  <c:v>4</c:v>
                </c:pt>
                <c:pt idx="1">
                  <c:v>6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52-4DC7-B1A1-708662D9E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617663"/>
        <c:axId val="1463608543"/>
      </c:barChart>
      <c:catAx>
        <c:axId val="1463617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3608543"/>
        <c:crosses val="autoZero"/>
        <c:auto val="1"/>
        <c:lblAlgn val="ctr"/>
        <c:lblOffset val="100"/>
        <c:noMultiLvlLbl val="0"/>
      </c:catAx>
      <c:valAx>
        <c:axId val="1463608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流入数（人）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4636176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ja-JP"/>
              <a:t>Meeting bookings: per month, bars = IG / YT / stand / note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ダッシュ!$A$25</c:f>
              <c:strCache>
                <c:ptCount val="1"/>
                <c:pt idx="0">
                  <c:v>1月</c:v>
                </c:pt>
              </c:strCache>
            </c:strRef>
          </c:tx>
          <c:invertIfNegative val="0"/>
          <c:cat>
            <c:strRef>
              <c:f>ダッシュ!$B$24:$E$24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ダッシュ!$B$25:$E$25</c:f>
              <c:numCache>
                <c:formatCode>0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7-477B-A378-22635623CED4}"/>
            </c:ext>
          </c:extLst>
        </c:ser>
        <c:ser>
          <c:idx val="1"/>
          <c:order val="1"/>
          <c:tx>
            <c:strRef>
              <c:f>ダッシュ!$A$26</c:f>
              <c:strCache>
                <c:ptCount val="1"/>
                <c:pt idx="0">
                  <c:v>2月</c:v>
                </c:pt>
              </c:strCache>
            </c:strRef>
          </c:tx>
          <c:invertIfNegative val="0"/>
          <c:cat>
            <c:strRef>
              <c:f>ダッシュ!$B$24:$E$24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ダッシュ!$B$26:$E$26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37-477B-A378-22635623CED4}"/>
            </c:ext>
          </c:extLst>
        </c:ser>
        <c:ser>
          <c:idx val="2"/>
          <c:order val="2"/>
          <c:tx>
            <c:strRef>
              <c:f>ダッシュ!$A$27</c:f>
              <c:strCache>
                <c:ptCount val="1"/>
                <c:pt idx="0">
                  <c:v>3月</c:v>
                </c:pt>
              </c:strCache>
            </c:strRef>
          </c:tx>
          <c:invertIfNegative val="0"/>
          <c:cat>
            <c:strRef>
              <c:f>ダッシュ!$B$24:$E$24</c:f>
              <c:strCache>
                <c:ptCount val="4"/>
                <c:pt idx="0">
                  <c:v>Instagram</c:v>
                </c:pt>
                <c:pt idx="1">
                  <c:v>YouTube</c:v>
                </c:pt>
                <c:pt idx="2">
                  <c:v>stand.fm</c:v>
                </c:pt>
                <c:pt idx="3">
                  <c:v>note</c:v>
                </c:pt>
              </c:strCache>
            </c:strRef>
          </c:cat>
          <c:val>
            <c:numRef>
              <c:f>ダッシュ!$B$27:$E$27</c:f>
              <c:numCache>
                <c:formatCode>0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37-477B-A378-22635623C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3612863"/>
        <c:axId val="1463613343"/>
      </c:barChart>
      <c:catAx>
        <c:axId val="1463612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63613343"/>
        <c:crosses val="autoZero"/>
        <c:auto val="1"/>
        <c:lblAlgn val="ctr"/>
        <c:lblOffset val="100"/>
        <c:noMultiLvlLbl val="0"/>
      </c:catAx>
      <c:valAx>
        <c:axId val="14636133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予約数（件）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463612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0</xdr:row>
      <xdr:rowOff>127000</xdr:rowOff>
    </xdr:from>
    <xdr:to>
      <xdr:col>15</xdr:col>
      <xdr:colOff>0</xdr:colOff>
      <xdr:row>12</xdr:row>
      <xdr:rowOff>127000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A0DC40C-B151-C62B-CB71-453242F33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13</xdr:row>
      <xdr:rowOff>152400</xdr:rowOff>
    </xdr:from>
    <xdr:to>
      <xdr:col>15</xdr:col>
      <xdr:colOff>0</xdr:colOff>
      <xdr:row>27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72334365-CA99-AFD4-1D46-DDCA63796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381000</xdr:colOff>
      <xdr:row>16</xdr:row>
      <xdr:rowOff>101600</xdr:rowOff>
    </xdr:from>
    <xdr:to>
      <xdr:col>7</xdr:col>
      <xdr:colOff>584200</xdr:colOff>
      <xdr:row>29</xdr:row>
      <xdr:rowOff>177800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31D775A-6BD6-1BE6-B235-1FDCBFC58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304800</xdr:colOff>
      <xdr:row>16</xdr:row>
      <xdr:rowOff>101600</xdr:rowOff>
    </xdr:from>
    <xdr:to>
      <xdr:col>15</xdr:col>
      <xdr:colOff>508000</xdr:colOff>
      <xdr:row>29</xdr:row>
      <xdr:rowOff>177800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DD7057D-0BA3-0B1C-2351-4702511C5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32</xdr:row>
      <xdr:rowOff>0</xdr:rowOff>
    </xdr:from>
    <xdr:to>
      <xdr:col>7</xdr:col>
      <xdr:colOff>584200</xdr:colOff>
      <xdr:row>45</xdr:row>
      <xdr:rowOff>76200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D56D863-7FAD-4650-94E2-91B876C55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E75E-E7AC-46A9-B5D4-AEC6DA112FBE}">
  <dimension ref="A1:J16"/>
  <sheetViews>
    <sheetView workbookViewId="0"/>
  </sheetViews>
  <sheetFormatPr defaultRowHeight="18" x14ac:dyDescent="0.55000000000000004"/>
  <cols>
    <col min="1" max="1" width="6.83203125" bestFit="1" customWidth="1"/>
    <col min="2" max="2" width="9.58203125" bestFit="1" customWidth="1"/>
    <col min="3" max="3" width="15.5" style="6" bestFit="1" customWidth="1"/>
    <col min="4" max="4" width="19.33203125" style="6" bestFit="1" customWidth="1"/>
    <col min="5" max="5" width="10.58203125" style="6" bestFit="1" customWidth="1"/>
    <col min="6" max="6" width="10.1640625" style="6" bestFit="1" customWidth="1"/>
    <col min="7" max="7" width="13.33203125" style="4" bestFit="1" customWidth="1"/>
    <col min="8" max="8" width="13.83203125" style="4" bestFit="1" customWidth="1"/>
    <col min="9" max="9" width="21.08203125" style="4" bestFit="1" customWidth="1"/>
    <col min="10" max="10" width="24.9140625" style="4" bestFit="1" customWidth="1"/>
  </cols>
  <sheetData>
    <row r="1" spans="1:10" x14ac:dyDescent="0.55000000000000004">
      <c r="A1" s="2" t="s">
        <v>0</v>
      </c>
      <c r="B1" s="2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55000000000000004">
      <c r="A2" t="s">
        <v>10</v>
      </c>
      <c r="B2" t="s">
        <v>11</v>
      </c>
      <c r="C2" s="6">
        <v>16</v>
      </c>
      <c r="D2" s="6">
        <v>14</v>
      </c>
      <c r="E2" s="6">
        <v>1</v>
      </c>
      <c r="F2" s="6">
        <f>C2-D2</f>
        <v>2</v>
      </c>
      <c r="G2" s="4">
        <f>IF(C2&gt;0,D2/C2,0)</f>
        <v>0.875</v>
      </c>
      <c r="H2" s="4">
        <f>IF(D2&gt;0,E2/D2,0)</f>
        <v>7.1428571428571425E-2</v>
      </c>
      <c r="I2" s="4">
        <f>IF(C6&gt;0,C2/C6,0)</f>
        <v>0.84210526315789469</v>
      </c>
      <c r="J2" s="4">
        <f>IF(D6&gt;0,D2/D6,0)</f>
        <v>0.82352941176470584</v>
      </c>
    </row>
    <row r="3" spans="1:10" x14ac:dyDescent="0.55000000000000004">
      <c r="A3" t="s">
        <v>10</v>
      </c>
      <c r="B3" t="s">
        <v>12</v>
      </c>
      <c r="C3" s="6">
        <v>3</v>
      </c>
      <c r="D3" s="6">
        <v>3</v>
      </c>
      <c r="E3" s="6">
        <v>0</v>
      </c>
      <c r="F3" s="6">
        <f>C3-D3</f>
        <v>0</v>
      </c>
      <c r="G3" s="4">
        <f>IF(C3&gt;0,D3/C3,0)</f>
        <v>1</v>
      </c>
      <c r="H3" s="4">
        <f>IF(D3&gt;0,E3/D3,0)</f>
        <v>0</v>
      </c>
      <c r="I3" s="4">
        <f>IF(C6&gt;0,C3/C6,0)</f>
        <v>0.15789473684210525</v>
      </c>
      <c r="J3" s="4">
        <f>IF(D6&gt;0,D3/D6,0)</f>
        <v>0.17647058823529413</v>
      </c>
    </row>
    <row r="4" spans="1:10" x14ac:dyDescent="0.55000000000000004">
      <c r="A4" t="s">
        <v>10</v>
      </c>
      <c r="B4" t="s">
        <v>13</v>
      </c>
      <c r="C4" s="6">
        <v>0</v>
      </c>
      <c r="D4" s="6">
        <v>0</v>
      </c>
      <c r="E4" s="6">
        <v>0</v>
      </c>
      <c r="F4" s="6">
        <f>C4-D4</f>
        <v>0</v>
      </c>
      <c r="G4" s="4">
        <f>IF(C4&gt;0,D4/C4,0)</f>
        <v>0</v>
      </c>
      <c r="H4" s="4">
        <f>IF(D4&gt;0,E4/D4,0)</f>
        <v>0</v>
      </c>
      <c r="I4" s="4">
        <f>IF(C6&gt;0,C4/C6,0)</f>
        <v>0</v>
      </c>
      <c r="J4" s="4">
        <f>IF(D6&gt;0,D4/D6,0)</f>
        <v>0</v>
      </c>
    </row>
    <row r="5" spans="1:10" x14ac:dyDescent="0.55000000000000004">
      <c r="A5" t="s">
        <v>10</v>
      </c>
      <c r="B5" t="s">
        <v>14</v>
      </c>
      <c r="C5" s="6">
        <v>0</v>
      </c>
      <c r="D5" s="6">
        <v>0</v>
      </c>
      <c r="E5" s="6">
        <v>0</v>
      </c>
      <c r="F5" s="6">
        <f>C5-D5</f>
        <v>0</v>
      </c>
      <c r="G5" s="4">
        <f>IF(C5&gt;0,D5/C5,0)</f>
        <v>0</v>
      </c>
      <c r="H5" s="4">
        <f>IF(D5&gt;0,E5/D5,0)</f>
        <v>0</v>
      </c>
      <c r="I5" s="4">
        <f>IF(C6&gt;0,C5/C6,0)</f>
        <v>0</v>
      </c>
      <c r="J5" s="4">
        <f>IF(D6&gt;0,D5/D6,0)</f>
        <v>0</v>
      </c>
    </row>
    <row r="6" spans="1:10" x14ac:dyDescent="0.55000000000000004">
      <c r="A6" t="s">
        <v>10</v>
      </c>
      <c r="B6" t="s">
        <v>15</v>
      </c>
      <c r="C6" s="6">
        <f>SUM(C2:C5)</f>
        <v>19</v>
      </c>
      <c r="D6" s="6">
        <f>SUM(D2:D5)</f>
        <v>17</v>
      </c>
      <c r="E6" s="6">
        <f>SUM(E2:E5)</f>
        <v>1</v>
      </c>
      <c r="F6" s="6">
        <f>C6-D6</f>
        <v>2</v>
      </c>
      <c r="G6" s="4">
        <f>IF(C6&gt;0,D6/C6,0)</f>
        <v>0.89473684210526316</v>
      </c>
      <c r="H6" s="4">
        <f>IF(D6&gt;0,E6/D6,0)</f>
        <v>5.8823529411764705E-2</v>
      </c>
      <c r="I6" s="4">
        <f>IF(C6&gt;0,1,0)</f>
        <v>1</v>
      </c>
      <c r="J6" s="4">
        <f>IF(D6&gt;0,1,0)</f>
        <v>1</v>
      </c>
    </row>
    <row r="7" spans="1:10" x14ac:dyDescent="0.55000000000000004">
      <c r="A7" t="s">
        <v>16</v>
      </c>
      <c r="B7" t="s">
        <v>11</v>
      </c>
      <c r="C7" s="6">
        <v>11</v>
      </c>
      <c r="D7" s="6">
        <v>6</v>
      </c>
      <c r="E7" s="6">
        <v>0</v>
      </c>
      <c r="F7" s="6">
        <f>C7-D7</f>
        <v>5</v>
      </c>
      <c r="G7" s="4">
        <f>IF(C7&gt;0,D7/C7,0)</f>
        <v>0.54545454545454541</v>
      </c>
      <c r="H7" s="4">
        <f>IF(D7&gt;0,E7/D7,0)</f>
        <v>0</v>
      </c>
      <c r="I7" s="4">
        <f>IF(C11&gt;0,C7/C11,0)</f>
        <v>0.73333333333333328</v>
      </c>
      <c r="J7" s="4">
        <f>IF(D11&gt;0,D7/D11,0)</f>
        <v>0.75</v>
      </c>
    </row>
    <row r="8" spans="1:10" x14ac:dyDescent="0.55000000000000004">
      <c r="A8" t="s">
        <v>16</v>
      </c>
      <c r="B8" t="s">
        <v>12</v>
      </c>
      <c r="C8" s="6">
        <v>1</v>
      </c>
      <c r="D8" s="6">
        <v>0</v>
      </c>
      <c r="E8" s="6">
        <v>0</v>
      </c>
      <c r="F8" s="6">
        <f>C8-D8</f>
        <v>1</v>
      </c>
      <c r="G8" s="4">
        <f>IF(C8&gt;0,D8/C8,0)</f>
        <v>0</v>
      </c>
      <c r="H8" s="4">
        <f>IF(D8&gt;0,E8/D8,0)</f>
        <v>0</v>
      </c>
      <c r="I8" s="4">
        <f>IF(C11&gt;0,C8/C11,0)</f>
        <v>6.6666666666666666E-2</v>
      </c>
      <c r="J8" s="4">
        <f>IF(D11&gt;0,D8/D11,0)</f>
        <v>0</v>
      </c>
    </row>
    <row r="9" spans="1:10" x14ac:dyDescent="0.55000000000000004">
      <c r="A9" t="s">
        <v>16</v>
      </c>
      <c r="B9" t="s">
        <v>13</v>
      </c>
      <c r="C9" s="6">
        <v>1</v>
      </c>
      <c r="D9" s="6">
        <v>1</v>
      </c>
      <c r="E9" s="6">
        <v>0</v>
      </c>
      <c r="F9" s="6">
        <f>C9-D9</f>
        <v>0</v>
      </c>
      <c r="G9" s="4">
        <f>IF(C9&gt;0,D9/C9,0)</f>
        <v>1</v>
      </c>
      <c r="H9" s="4">
        <f>IF(D9&gt;0,E9/D9,0)</f>
        <v>0</v>
      </c>
      <c r="I9" s="4">
        <f>IF(C11&gt;0,C9/C11,0)</f>
        <v>6.6666666666666666E-2</v>
      </c>
      <c r="J9" s="4">
        <f>IF(D11&gt;0,D9/D11,0)</f>
        <v>0.125</v>
      </c>
    </row>
    <row r="10" spans="1:10" x14ac:dyDescent="0.55000000000000004">
      <c r="A10" t="s">
        <v>16</v>
      </c>
      <c r="B10" t="s">
        <v>14</v>
      </c>
      <c r="C10" s="6">
        <v>2</v>
      </c>
      <c r="D10" s="6">
        <v>1</v>
      </c>
      <c r="E10" s="6">
        <v>0</v>
      </c>
      <c r="F10" s="6">
        <f>C10-D10</f>
        <v>1</v>
      </c>
      <c r="G10" s="4">
        <f>IF(C10&gt;0,D10/C10,0)</f>
        <v>0.5</v>
      </c>
      <c r="H10" s="4">
        <f>IF(D10&gt;0,E10/D10,0)</f>
        <v>0</v>
      </c>
      <c r="I10" s="4">
        <f>IF(C11&gt;0,C10/C11,0)</f>
        <v>0.13333333333333333</v>
      </c>
      <c r="J10" s="4">
        <f>IF(D11&gt;0,D10/D11,0)</f>
        <v>0.125</v>
      </c>
    </row>
    <row r="11" spans="1:10" x14ac:dyDescent="0.55000000000000004">
      <c r="A11" t="s">
        <v>16</v>
      </c>
      <c r="B11" t="s">
        <v>15</v>
      </c>
      <c r="C11" s="6">
        <f>SUM(C7:C10)</f>
        <v>15</v>
      </c>
      <c r="D11" s="6">
        <f>SUM(D7:D10)</f>
        <v>8</v>
      </c>
      <c r="E11" s="6">
        <f>SUM(E7:E10)</f>
        <v>0</v>
      </c>
      <c r="F11" s="6">
        <f>C11-D11</f>
        <v>7</v>
      </c>
      <c r="G11" s="4">
        <f>IF(C11&gt;0,D11/C11,0)</f>
        <v>0.53333333333333333</v>
      </c>
      <c r="H11" s="4">
        <f>IF(D11&gt;0,E11/D11,0)</f>
        <v>0</v>
      </c>
      <c r="I11" s="4">
        <f>IF(C11&gt;0,1,0)</f>
        <v>1</v>
      </c>
      <c r="J11" s="4">
        <f>IF(D11&gt;0,1,0)</f>
        <v>1</v>
      </c>
    </row>
    <row r="12" spans="1:10" x14ac:dyDescent="0.55000000000000004">
      <c r="A12" t="s">
        <v>17</v>
      </c>
      <c r="B12" t="s">
        <v>11</v>
      </c>
      <c r="C12" s="6">
        <v>7</v>
      </c>
      <c r="D12" s="6">
        <v>4</v>
      </c>
      <c r="E12" s="6">
        <v>0</v>
      </c>
      <c r="F12" s="6">
        <f>C12-D12</f>
        <v>3</v>
      </c>
      <c r="G12" s="4">
        <f>IF(C12&gt;0,D12/C12,0)</f>
        <v>0.5714285714285714</v>
      </c>
      <c r="H12" s="4">
        <f>IF(D12&gt;0,E12/D12,0)</f>
        <v>0</v>
      </c>
      <c r="I12" s="4">
        <f>IF(C16&gt;0,C12/C16,0)</f>
        <v>0.3888888888888889</v>
      </c>
      <c r="J12" s="4">
        <f>IF(D16&gt;0,D12/D16,0)</f>
        <v>0.33333333333333331</v>
      </c>
    </row>
    <row r="13" spans="1:10" x14ac:dyDescent="0.55000000000000004">
      <c r="A13" t="s">
        <v>17</v>
      </c>
      <c r="B13" t="s">
        <v>12</v>
      </c>
      <c r="C13" s="6">
        <v>8</v>
      </c>
      <c r="D13" s="6">
        <v>6</v>
      </c>
      <c r="E13" s="6">
        <v>1</v>
      </c>
      <c r="F13" s="6">
        <f>C13-D13</f>
        <v>2</v>
      </c>
      <c r="G13" s="4">
        <f>IF(C13&gt;0,D13/C13,0)</f>
        <v>0.75</v>
      </c>
      <c r="H13" s="4">
        <f>IF(D13&gt;0,E13/D13,0)</f>
        <v>0.16666666666666666</v>
      </c>
      <c r="I13" s="4">
        <f>IF(C16&gt;0,C13/C16,0)</f>
        <v>0.44444444444444442</v>
      </c>
      <c r="J13" s="4">
        <f>IF(D16&gt;0,D13/D16,0)</f>
        <v>0.5</v>
      </c>
    </row>
    <row r="14" spans="1:10" x14ac:dyDescent="0.55000000000000004">
      <c r="A14" t="s">
        <v>17</v>
      </c>
      <c r="B14" t="s">
        <v>13</v>
      </c>
      <c r="C14" s="6">
        <v>3</v>
      </c>
      <c r="D14" s="6">
        <v>2</v>
      </c>
      <c r="E14" s="6">
        <v>0</v>
      </c>
      <c r="F14" s="6">
        <f>C14-D14</f>
        <v>1</v>
      </c>
      <c r="G14" s="4">
        <f>IF(C14&gt;0,D14/C14,0)</f>
        <v>0.66666666666666663</v>
      </c>
      <c r="H14" s="4">
        <f>IF(D14&gt;0,E14/D14,0)</f>
        <v>0</v>
      </c>
      <c r="I14" s="4">
        <f>IF(C16&gt;0,C14/C16,0)</f>
        <v>0.16666666666666666</v>
      </c>
      <c r="J14" s="4">
        <f>IF(D16&gt;0,D14/D16,0)</f>
        <v>0.16666666666666666</v>
      </c>
    </row>
    <row r="15" spans="1:10" x14ac:dyDescent="0.55000000000000004">
      <c r="A15" t="s">
        <v>17</v>
      </c>
      <c r="B15" t="s">
        <v>14</v>
      </c>
      <c r="C15" s="6">
        <v>0</v>
      </c>
      <c r="D15" s="6">
        <v>0</v>
      </c>
      <c r="E15" s="6">
        <v>0</v>
      </c>
      <c r="F15" s="6">
        <f>C15-D15</f>
        <v>0</v>
      </c>
      <c r="G15" s="4">
        <f>IF(C15&gt;0,D15/C15,0)</f>
        <v>0</v>
      </c>
      <c r="H15" s="4">
        <f>IF(D15&gt;0,E15/D15,0)</f>
        <v>0</v>
      </c>
      <c r="I15" s="4">
        <f>IF(C16&gt;0,C15/C16,0)</f>
        <v>0</v>
      </c>
      <c r="J15" s="4">
        <f>IF(D16&gt;0,D15/D16,0)</f>
        <v>0</v>
      </c>
    </row>
    <row r="16" spans="1:10" x14ac:dyDescent="0.55000000000000004">
      <c r="A16" t="s">
        <v>17</v>
      </c>
      <c r="B16" t="s">
        <v>15</v>
      </c>
      <c r="C16" s="6">
        <f>SUM(C12:C15)</f>
        <v>18</v>
      </c>
      <c r="D16" s="6">
        <f>SUM(D12:D15)</f>
        <v>12</v>
      </c>
      <c r="E16" s="6">
        <f>SUM(E12:E15)</f>
        <v>1</v>
      </c>
      <c r="F16" s="6">
        <f>C16-D16</f>
        <v>6</v>
      </c>
      <c r="G16" s="4">
        <f>IF(C16&gt;0,D16/C16,0)</f>
        <v>0.66666666666666663</v>
      </c>
      <c r="H16" s="4">
        <f>IF(D16&gt;0,E16/D16,0)</f>
        <v>8.3333333333333329E-2</v>
      </c>
      <c r="I16" s="4">
        <f>IF(C16&gt;0,1,0)</f>
        <v>1</v>
      </c>
      <c r="J16" s="4">
        <f>IF(D16&gt;0,1,0)</f>
        <v>1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D12D-0D09-4AC6-A7A6-36C2939987A2}">
  <dimension ref="A1:G31"/>
  <sheetViews>
    <sheetView tabSelected="1" workbookViewId="0"/>
  </sheetViews>
  <sheetFormatPr defaultRowHeight="18" x14ac:dyDescent="0.55000000000000004"/>
  <cols>
    <col min="1" max="1" width="56.25" bestFit="1" customWidth="1"/>
    <col min="2" max="2" width="10.4140625" bestFit="1" customWidth="1"/>
    <col min="3" max="3" width="11.9140625" bestFit="1" customWidth="1"/>
    <col min="4" max="4" width="9.25" bestFit="1" customWidth="1"/>
    <col min="5" max="5" width="10" bestFit="1" customWidth="1"/>
    <col min="6" max="6" width="10.58203125" bestFit="1" customWidth="1"/>
    <col min="7" max="7" width="29.4140625" bestFit="1" customWidth="1"/>
  </cols>
  <sheetData>
    <row r="1" spans="1:7" ht="42" customHeight="1" x14ac:dyDescent="0.55000000000000004">
      <c r="A1" s="7" t="s">
        <v>18</v>
      </c>
      <c r="B1" s="7"/>
      <c r="C1" s="7"/>
      <c r="D1" s="7"/>
      <c r="E1" s="7"/>
      <c r="F1" s="7"/>
      <c r="G1" s="7"/>
    </row>
    <row r="3" spans="1:7" x14ac:dyDescent="0.55000000000000004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</row>
    <row r="4" spans="1:7" x14ac:dyDescent="0.55000000000000004">
      <c r="A4" t="s">
        <v>10</v>
      </c>
      <c r="B4" s="6">
        <f>生データ!C6</f>
        <v>19</v>
      </c>
      <c r="C4" s="6">
        <f>生データ!D6</f>
        <v>17</v>
      </c>
      <c r="D4" s="6">
        <f>生データ!E6</f>
        <v>1</v>
      </c>
      <c r="E4" s="4">
        <f>生データ!G6</f>
        <v>0.89473684210526316</v>
      </c>
      <c r="F4" s="4">
        <f>生データ!H6</f>
        <v>5.8823529411764705E-2</v>
      </c>
      <c r="G4" s="8">
        <f>生データ!D6</f>
        <v>17</v>
      </c>
    </row>
    <row r="5" spans="1:7" x14ac:dyDescent="0.55000000000000004">
      <c r="A5" t="s">
        <v>16</v>
      </c>
      <c r="B5" s="6">
        <f>生データ!C11</f>
        <v>15</v>
      </c>
      <c r="C5" s="6">
        <f>生データ!D11</f>
        <v>8</v>
      </c>
      <c r="D5" s="6">
        <f>生データ!E11</f>
        <v>0</v>
      </c>
      <c r="E5" s="4">
        <f>生データ!G11</f>
        <v>0.53333333333333333</v>
      </c>
      <c r="F5" s="4">
        <f>生データ!H11</f>
        <v>0</v>
      </c>
      <c r="G5" s="8">
        <f>生データ!D11</f>
        <v>8</v>
      </c>
    </row>
    <row r="6" spans="1:7" x14ac:dyDescent="0.55000000000000004">
      <c r="A6" t="s">
        <v>17</v>
      </c>
      <c r="B6" s="6">
        <f>生データ!C16</f>
        <v>18</v>
      </c>
      <c r="C6" s="6">
        <f>生データ!D16</f>
        <v>12</v>
      </c>
      <c r="D6" s="6">
        <f>生データ!E16</f>
        <v>1</v>
      </c>
      <c r="E6" s="4">
        <f>生データ!G16</f>
        <v>0.66666666666666663</v>
      </c>
      <c r="F6" s="4">
        <f>生データ!H16</f>
        <v>8.3333333333333329E-2</v>
      </c>
      <c r="G6" s="8">
        <f>生データ!D16</f>
        <v>12</v>
      </c>
    </row>
    <row r="10" spans="1:7" x14ac:dyDescent="0.55000000000000004">
      <c r="A10" s="1" t="s">
        <v>26</v>
      </c>
    </row>
    <row r="12" spans="1:7" x14ac:dyDescent="0.55000000000000004">
      <c r="A12" s="1" t="s">
        <v>19</v>
      </c>
      <c r="B12" s="1" t="s">
        <v>11</v>
      </c>
      <c r="C12" s="1" t="s">
        <v>12</v>
      </c>
      <c r="D12" s="1" t="s">
        <v>13</v>
      </c>
      <c r="E12" s="1" t="s">
        <v>14</v>
      </c>
    </row>
    <row r="13" spans="1:7" x14ac:dyDescent="0.55000000000000004">
      <c r="A13" t="s">
        <v>10</v>
      </c>
      <c r="B13" s="6">
        <f>生データ!C2</f>
        <v>16</v>
      </c>
      <c r="C13" s="6">
        <f>生データ!C3</f>
        <v>3</v>
      </c>
      <c r="D13" s="6">
        <f>生データ!C4</f>
        <v>0</v>
      </c>
      <c r="E13" s="6">
        <f>生データ!C5</f>
        <v>0</v>
      </c>
    </row>
    <row r="14" spans="1:7" x14ac:dyDescent="0.55000000000000004">
      <c r="A14" t="s">
        <v>16</v>
      </c>
      <c r="B14" s="6">
        <f>生データ!C7</f>
        <v>11</v>
      </c>
      <c r="C14" s="6">
        <f>生データ!C8</f>
        <v>1</v>
      </c>
      <c r="D14" s="6">
        <f>生データ!C9</f>
        <v>1</v>
      </c>
      <c r="E14" s="6">
        <f>生データ!C10</f>
        <v>2</v>
      </c>
    </row>
    <row r="15" spans="1:7" x14ac:dyDescent="0.55000000000000004">
      <c r="A15" t="s">
        <v>17</v>
      </c>
      <c r="B15" s="6">
        <f>生データ!C12</f>
        <v>7</v>
      </c>
      <c r="C15" s="6">
        <f>生データ!C13</f>
        <v>8</v>
      </c>
      <c r="D15" s="6">
        <f>生データ!C14</f>
        <v>3</v>
      </c>
      <c r="E15" s="6">
        <f>生データ!C15</f>
        <v>0</v>
      </c>
    </row>
    <row r="17" spans="1:7" x14ac:dyDescent="0.55000000000000004">
      <c r="A17" s="1" t="s">
        <v>27</v>
      </c>
    </row>
    <row r="18" spans="1:7" x14ac:dyDescent="0.55000000000000004">
      <c r="A18" s="1" t="s">
        <v>19</v>
      </c>
      <c r="B18" s="1" t="s">
        <v>11</v>
      </c>
      <c r="C18" s="1" t="s">
        <v>12</v>
      </c>
      <c r="D18" s="1" t="s">
        <v>13</v>
      </c>
      <c r="E18" s="1" t="s">
        <v>14</v>
      </c>
    </row>
    <row r="19" spans="1:7" x14ac:dyDescent="0.55000000000000004">
      <c r="A19" t="s">
        <v>10</v>
      </c>
      <c r="B19" s="6">
        <f>生データ!D2</f>
        <v>14</v>
      </c>
      <c r="C19" s="6">
        <f>生データ!D3</f>
        <v>3</v>
      </c>
      <c r="D19" s="6">
        <f>生データ!D4</f>
        <v>0</v>
      </c>
      <c r="E19" s="6">
        <f>生データ!D5</f>
        <v>0</v>
      </c>
    </row>
    <row r="20" spans="1:7" x14ac:dyDescent="0.55000000000000004">
      <c r="A20" t="s">
        <v>16</v>
      </c>
      <c r="B20" s="6">
        <f>生データ!D7</f>
        <v>6</v>
      </c>
      <c r="C20" s="6">
        <f>生データ!D8</f>
        <v>0</v>
      </c>
      <c r="D20" s="6">
        <f>生データ!D9</f>
        <v>1</v>
      </c>
      <c r="E20" s="6">
        <f>生データ!D10</f>
        <v>1</v>
      </c>
    </row>
    <row r="21" spans="1:7" x14ac:dyDescent="0.55000000000000004">
      <c r="A21" t="s">
        <v>17</v>
      </c>
      <c r="B21" s="6">
        <f>生データ!D12</f>
        <v>4</v>
      </c>
      <c r="C21" s="6">
        <f>生データ!D13</f>
        <v>6</v>
      </c>
      <c r="D21" s="6">
        <f>生データ!D14</f>
        <v>2</v>
      </c>
      <c r="E21" s="6">
        <f>生データ!D15</f>
        <v>0</v>
      </c>
    </row>
    <row r="23" spans="1:7" x14ac:dyDescent="0.55000000000000004">
      <c r="A23" s="1" t="s">
        <v>28</v>
      </c>
    </row>
    <row r="24" spans="1:7" x14ac:dyDescent="0.55000000000000004">
      <c r="A24" s="1" t="s">
        <v>19</v>
      </c>
      <c r="B24" s="1" t="s">
        <v>11</v>
      </c>
      <c r="C24" s="1" t="s">
        <v>12</v>
      </c>
      <c r="D24" s="1" t="s">
        <v>13</v>
      </c>
      <c r="E24" s="1" t="s">
        <v>14</v>
      </c>
    </row>
    <row r="25" spans="1:7" x14ac:dyDescent="0.55000000000000004">
      <c r="A25" t="s">
        <v>10</v>
      </c>
      <c r="B25" s="6">
        <f>生データ!E2</f>
        <v>1</v>
      </c>
      <c r="C25" s="6">
        <f>生データ!E3</f>
        <v>0</v>
      </c>
      <c r="D25" s="6">
        <f>生データ!E4</f>
        <v>0</v>
      </c>
      <c r="E25" s="6">
        <f>生データ!E5</f>
        <v>0</v>
      </c>
    </row>
    <row r="26" spans="1:7" x14ac:dyDescent="0.55000000000000004">
      <c r="A26" t="s">
        <v>16</v>
      </c>
      <c r="B26" s="6">
        <f>生データ!E7</f>
        <v>0</v>
      </c>
      <c r="C26" s="6">
        <f>生データ!E8</f>
        <v>0</v>
      </c>
      <c r="D26" s="6">
        <f>生データ!E9</f>
        <v>0</v>
      </c>
      <c r="E26" s="6">
        <f>生データ!E10</f>
        <v>0</v>
      </c>
    </row>
    <row r="27" spans="1:7" x14ac:dyDescent="0.55000000000000004">
      <c r="A27" t="s">
        <v>17</v>
      </c>
      <c r="B27" s="6">
        <f>生データ!E12</f>
        <v>0</v>
      </c>
      <c r="C27" s="6">
        <f>生データ!E13</f>
        <v>1</v>
      </c>
      <c r="D27" s="6">
        <f>生データ!E14</f>
        <v>0</v>
      </c>
      <c r="E27" s="6">
        <f>生データ!E15</f>
        <v>0</v>
      </c>
    </row>
    <row r="30" spans="1:7" x14ac:dyDescent="0.55000000000000004">
      <c r="A30" s="7" t="s">
        <v>29</v>
      </c>
      <c r="B30" s="7"/>
      <c r="C30" s="7"/>
      <c r="D30" s="7"/>
      <c r="E30" s="7"/>
      <c r="F30" s="7"/>
      <c r="G30" s="7"/>
    </row>
    <row r="31" spans="1:7" x14ac:dyDescent="0.55000000000000004">
      <c r="A31" s="7"/>
      <c r="B31" s="7"/>
      <c r="C31" s="7"/>
      <c r="D31" s="7"/>
      <c r="E31" s="7"/>
      <c r="F31" s="7"/>
      <c r="G31" s="7"/>
    </row>
  </sheetData>
  <mergeCells count="2">
    <mergeCell ref="A1:G1"/>
    <mergeCell ref="A30:G31"/>
  </mergeCells>
  <phoneticPr fontId="3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生データ</vt:lpstr>
      <vt:lpstr>ダッシュ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和希 橋本</dc:creator>
  <cp:lastModifiedBy>和希 橋本</cp:lastModifiedBy>
  <dcterms:created xsi:type="dcterms:W3CDTF">2026-04-12T20:21:41Z</dcterms:created>
  <dcterms:modified xsi:type="dcterms:W3CDTF">2026-04-12T20:21:47Z</dcterms:modified>
</cp:coreProperties>
</file>